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ummary" sheetId="1" state="visible" r:id="rId1"/>
    <sheet name="Overview" sheetId="2" state="visible" r:id="rId2"/>
  </sheets>
  <definedNames>
    <definedName name="_xlnm._FilterDatabase" localSheetId="0" hidden="1">'Project Summary'!$A$3:$J$12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444444"/>
      <sz val="9"/>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2E5B9A"/>
      </patternFill>
    </fill>
    <fill>
      <patternFill patternType="solid">
        <fgColor rgb="00EDF2F9"/>
      </patternFill>
    </fill>
  </fills>
  <borders count="2">
    <border>
      <left/>
      <right/>
      <top/>
      <bottom/>
      <diagonal/>
    </border>
    <border>
      <left style="thin">
        <color rgb="00B7C3D6"/>
      </left>
      <right style="thin">
        <color rgb="00B7C3D6"/>
      </right>
      <top style="thin">
        <color rgb="00B7C3D6"/>
      </top>
      <bottom style="thin">
        <color rgb="00B7C3D6"/>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20" customWidth="1" min="4" max="4"/>
    <col width="62" customWidth="1" min="5" max="5"/>
    <col width="46" customWidth="1" min="6" max="6"/>
    <col width="34" customWidth="1" min="7" max="7"/>
    <col width="34" customWidth="1" min="8" max="8"/>
    <col width="18" customWidth="1" min="9" max="9"/>
    <col width="34" customWidth="1" min="10" max="10"/>
  </cols>
  <sheetData>
    <row r="1" ht="30" customHeight="1">
      <c r="A1" s="1" t="inlineStr">
        <is>
          <t>5.0 AI Engineering Toolkit — Project Summary / 项目核心思想汇总</t>
        </is>
      </c>
    </row>
    <row r="2" ht="18" customHeight="1">
      <c r="A2" s="2" t="inlineStr">
        <is>
          <t>Source: repository root of 5.0-Ai-Engineering-Toolkit. Each row = one self-contained project found in the folder tree. Summaries derived from each project's README, source files and manifests.</t>
        </is>
      </c>
    </row>
    <row r="3" ht="30" customHeight="1">
      <c r="A3" s="3" t="inlineStr">
        <is>
          <t>#</t>
        </is>
      </c>
      <c r="B3" s="3" t="inlineStr">
        <is>
          <t>Project / 项目</t>
        </is>
      </c>
      <c r="C3" s="3" t="inlineStr">
        <is>
          <t>Path 路径</t>
        </is>
      </c>
      <c r="D3" s="3" t="inlineStr">
        <is>
          <t>Type 类型</t>
        </is>
      </c>
      <c r="E3" s="3" t="inlineStr">
        <is>
          <t>Core Idea 核心思想</t>
        </is>
      </c>
      <c r="F3" s="3" t="inlineStr">
        <is>
          <t>What It Does 主要功能</t>
        </is>
      </c>
      <c r="G3" s="3" t="inlineStr">
        <is>
          <t>Tech Stack 技术栈</t>
        </is>
      </c>
      <c r="H3" s="3" t="inlineStr">
        <is>
          <t>Key Files 关键文件</t>
        </is>
      </c>
      <c r="I3" s="3" t="inlineStr">
        <is>
          <t>Status 状态</t>
        </is>
      </c>
      <c r="J3" s="3" t="inlineStr">
        <is>
          <t>Notes 备注</t>
        </is>
      </c>
    </row>
    <row r="4" ht="132" customHeight="1">
      <c r="A4" s="4" t="n">
        <v>1</v>
      </c>
      <c r="B4" s="5" t="inlineStr">
        <is>
          <t>Accounting Ledger (记账系统)</t>
        </is>
      </c>
      <c r="C4" s="6" t="inlineStr">
        <is>
          <t>distributed-ledger-system/</t>
        </is>
      </c>
      <c r="D4" s="6" t="inlineStr">
        <is>
          <t>Web App (Full-stack)</t>
        </is>
      </c>
      <c r="E4" s="6" t="inlineStr">
        <is>
          <t>Turn a Notion database into a smart personal-finance ledger: an LLM auto-categorizes every transaction from its free-text Description, so nothing is ever left "Uncategorized", and the cleaned data feeds an analytics dashboard.
把 Notion 数据库变成智能记账本：用大模型根据 Description 自动分类，消除"未分类"条目，并在此基础上做收支分析与可视化。</t>
        </is>
      </c>
      <c r="F4" s="6" t="inlineStr">
        <is>
          <t>Syncs Notion in real time (paginated, &gt;100 entries); AI category assignment with persistent cache; Deposit=income / Payment=expense detection; date-range filter; daily &amp; monthly trend, category and account breakdown charts.</t>
        </is>
      </c>
      <c r="G4" s="6" t="inlineStr">
        <is>
          <t>React 18 + react-scripts (frontend), Node.js + Express (backend), @notionhq/client, OpenAI SDK + @anthropic-ai/sdk, axios, dotenv, Vercel deploy</t>
        </is>
      </c>
      <c r="H4" s="6" t="inlineStr">
        <is>
          <t>backend/server.js, frontend/src/App.js, vercel.json, README.md, DEPLOY.md</t>
        </is>
      </c>
      <c r="I4" s="6" t="inlineStr">
        <is>
          <t>Working / deployable</t>
        </is>
      </c>
      <c r="J4" s="6" t="inlineStr">
        <is>
          <t>Needs NOTION_API_KEY, database ID and an LLM API key in backend/.env</t>
        </is>
      </c>
    </row>
    <row r="5" ht="132" customHeight="1">
      <c r="A5" s="7" t="n">
        <v>2</v>
      </c>
      <c r="B5" s="8" t="inlineStr">
        <is>
          <t>Chat-on-WeChat Bot (智能对话机器人)</t>
        </is>
      </c>
      <c r="C5" s="9" t="inlineStr">
        <is>
          <t>realtime-chat-system/</t>
        </is>
      </c>
      <c r="D5" s="9" t="inlineStr">
        <is>
          <t>Python Service / Bot</t>
        </is>
      </c>
      <c r="E5" s="9" t="inlineStr">
        <is>
          <t>One pluggable LLM chatbot core that plugs into many messaging front-ends: channels, bots, voice and plugins are all factory-swappable, so the same conversation engine serves personal WeChat, WeChat Official Accounts, WeCom or a terminal.
一个可插拔的大模型对话内核：channel / bot / voice / plugin 全部工厂化解耦，同一套对话引擎可接入个人微信、公众号、企业微信或终端。</t>
        </is>
      </c>
      <c r="F5" s="9" t="inlineStr">
        <is>
          <t>Multi-channel deployment; 1-on-1 and group replies with multi-turn context memory; speech recognition and TTS (Azure / Baidu / Google / OpenAI); image generation (DALL·E, SD, Midjourney via LinkAI); plugin system (role-play, dungeon game, banned words, keyword, tool, summarization); knowledge base via LinkAI.</t>
        </is>
      </c>
      <c r="G5" s="9" t="inlineStr">
        <is>
          <t>Python, GPT-3/3.5/4 + 文心一言 via bot factory, itchat/WeChat APIs, Docker + docker-compose</t>
        </is>
      </c>
      <c r="H5" s="9" t="inlineStr">
        <is>
          <t>channel/channel_factory.py, bot/bot_factory.py, voice/factory.py, plugins/plugin_manager.py, config.py</t>
        </is>
      </c>
      <c r="I5" s="9" t="inlineStr">
        <is>
          <t>Mature upstream fork</t>
        </is>
      </c>
      <c r="J5" s="9" t="inlineStr">
        <is>
          <t>Based on the open-source chatgpt-on-wechat project; configure keys in config.json</t>
        </is>
      </c>
    </row>
    <row r="6" ht="132" customHeight="1">
      <c r="A6" s="4" t="n">
        <v>3</v>
      </c>
      <c r="B6" s="5" t="inlineStr">
        <is>
          <t>BrewMeet (iOS app)</t>
        </is>
      </c>
      <c r="C6" s="6" t="inlineStr">
        <is>
          <t>realtime-chat-system-2/BrewMeet/</t>
        </is>
      </c>
      <c r="D6" s="6" t="inlineStr">
        <is>
          <t>iOS App (SwiftUI)</t>
        </is>
      </c>
      <c r="E6" s="6" t="inlineStr">
        <is>
          <t>Take the Hinge swipe-and-match interaction model but strip out dating: the goal of a match is a coffee chat, not a date — so the profile, the invitation and the whole flow are built around meeting someone for coffee.
借用 Hinge 的滑卡匹配交互，但去掉约会属性：匹配的目的是一次"咖啡聊天"，整个资料、邀请与流程都围绕线下喝咖啡展开。</t>
        </is>
      </c>
      <c r="F6" s="6" t="inlineStr">
        <is>
          <t>Six screens: Discover (swipe cards), Standouts (algorithmic picks), Invitations (coffee invites), Matches (conversations), Profile, Settings. Reusable component kit (Card, CustomButton, Badge, ProfileCard, AsyncImageWithFallback). Minimalist black-and-white, fully Chinese UI.</t>
        </is>
      </c>
      <c r="G6" s="6" t="inlineStr">
        <is>
          <t>Swift, SwiftUI, Xcode project, iOS 26.0+</t>
        </is>
      </c>
      <c r="H6" s="6" t="inlineStr">
        <is>
          <t>BrewMeetApp.swift, ContentView.swift, Models.swift, Components.swift, DiscoverPageView.swift</t>
        </is>
      </c>
      <c r="I6" s="6" t="inlineStr">
        <is>
          <t>Prototype / in development</t>
        </is>
      </c>
      <c r="J6" s="6" t="inlineStr">
        <is>
          <t>location.md holds venue notes; see README for run instructions</t>
        </is>
      </c>
    </row>
    <row r="7" ht="132" customHeight="1">
      <c r="A7" s="7" t="n">
        <v>4</v>
      </c>
      <c r="B7" s="8" t="inlineStr">
        <is>
          <t>Coffee Chat App Design (figma-edition)</t>
        </is>
      </c>
      <c r="C7" s="9" t="inlineStr">
        <is>
          <t>realtime-chat-system-2/figma-edition/</t>
        </is>
      </c>
      <c r="D7" s="9" t="inlineStr">
        <is>
          <t>Web Prototype (React)</t>
        </is>
      </c>
      <c r="E7" s="9" t="inlineStr">
        <is>
          <t>The same BrewMeet product expressed as a browser-runnable design bundle exported from Figma — a high-fidelity interactive mock that lets the screens be reviewed and iterated before the native iOS build.
同一款 BrewMeet 产品的 Figma 导出版：可在浏览器运行的高保真交互原型，便于在原生 iOS 开发前评审和迭代界面。</t>
        </is>
      </c>
      <c r="F7" s="9" t="inlineStr">
        <is>
          <t>Mirrors the native screen set in React: DiscoverPage, StandoutsPage, InvitationsPage, MatchesPage, ProfilePage, SettingsPage, ChatList, ProfileCard, plus a shared ui/ component library and design guidelines.</t>
        </is>
      </c>
      <c r="G7" s="9" t="inlineStr">
        <is>
          <t>React + TypeScript, Vite, Figma Make export</t>
        </is>
      </c>
      <c r="H7" s="9" t="inlineStr">
        <is>
          <t>src/App.tsx, src/components/*.tsx, vite.config.ts, src/guidelines/</t>
        </is>
      </c>
      <c r="I7" s="9" t="inlineStr">
        <is>
          <t>Design prototype</t>
        </is>
      </c>
      <c r="J7" s="9" t="inlineStr">
        <is>
          <t>`npm i` then `npm run dev`; original Figma file linked in its README</t>
        </is>
      </c>
    </row>
    <row r="8" ht="132" customHeight="1">
      <c r="A8" s="4" t="n">
        <v>5</v>
      </c>
      <c r="B8" s="5" t="inlineStr">
        <is>
          <t>BrewMeet Merch / Brand Assets</t>
        </is>
      </c>
      <c r="C8" s="6" t="inlineStr">
        <is>
          <t>realtime-chat-system-2/merch/</t>
        </is>
      </c>
      <c r="D8" s="6" t="inlineStr">
        <is>
          <t>Design Assets</t>
        </is>
      </c>
      <c r="E8" s="6" t="inlineStr">
        <is>
          <t>Give the coffee-chat product a visual identity that can travel off-screen — a logo explored across variants (ring lockups and standalone marks) ready for merchandise and branding.
为咖啡社交产品建立可延展到线下的视觉识别：多套 logo 变体（圆环锁定版与纯标记版），可直接用于周边与品牌物料。</t>
        </is>
      </c>
      <c r="F8" s="6" t="inlineStr">
        <is>
          <t>Two logo families: Logo/Rings (10 ring-lockup variants) and Logo/Without (standalone marks); raster PNG exports for merch use.</t>
        </is>
      </c>
      <c r="G8" s="6" t="inlineStr">
        <is>
          <t>PNG image assets (no code)</t>
        </is>
      </c>
      <c r="H8" s="6" t="inlineStr">
        <is>
          <t>merch/Logo/Rings/logo-1..10.png, merch/Logo/Without/*.png</t>
        </is>
      </c>
      <c r="I8" s="6" t="inlineStr">
        <is>
          <t>Asset library</t>
        </is>
      </c>
      <c r="J8" s="6" t="inlineStr">
        <is>
          <t>Companion to BrewMeet — no build step, assets only</t>
        </is>
      </c>
    </row>
    <row r="9" ht="132" customHeight="1">
      <c r="A9" s="7" t="n">
        <v>6</v>
      </c>
      <c r="B9" s="8" t="inlineStr">
        <is>
          <t>App Reference Library</t>
        </is>
      </c>
      <c r="C9" s="9" t="inlineStr">
        <is>
          <t>realtime-chat-system-2/app-reference/</t>
        </is>
      </c>
      <c r="D9" s="9" t="inlineStr">
        <is>
          <t>Research / Reference</t>
        </is>
      </c>
      <c r="E9" s="9" t="inlineStr">
        <is>
          <t>Collect competitor and inspiration screenshots as the design source of truth, so UI decisions in BrewMeet and the Figma edition are grounded in existing patterns rather than invented from scratch.
收集竞品与灵感截图作为设计依据，让 BrewMeet 及 Figma 版本的界面决策有据可循，而非凭空设计。</t>
        </is>
      </c>
      <c r="F9" s="9" t="inlineStr">
        <is>
          <t>29 reference screenshots (1.jpg – 29.jpg) of app interaction and layout patterns.</t>
        </is>
      </c>
      <c r="G9" s="9" t="inlineStr">
        <is>
          <t>JPG images (no code)</t>
        </is>
      </c>
      <c r="H9" s="9" t="inlineStr">
        <is>
          <t>app-reference/1.jpg … 29.jpg</t>
        </is>
      </c>
      <c r="I9" s="9" t="inlineStr">
        <is>
          <t>Reference material</t>
        </is>
      </c>
      <c r="J9" s="9" t="inlineStr">
        <is>
          <t>Input to projects #3 and #4</t>
        </is>
      </c>
    </row>
    <row r="10" ht="132" customHeight="1">
      <c r="A10" s="4" t="n">
        <v>7</v>
      </c>
      <c r="B10" s="5" t="inlineStr">
        <is>
          <t>Qwen DPO Fine-tuning Template</t>
        </is>
      </c>
      <c r="C10" s="6" t="inlineStr">
        <is>
          <t>repo3-fine-tuning-template/</t>
        </is>
      </c>
      <c r="D10" s="6" t="inlineStr">
        <is>
          <t>ML Training Template</t>
        </is>
      </c>
      <c r="E10" s="6" t="inlineStr">
        <is>
          <t>A ready-to-run scaffold for preference alignment: point it at a prompt/chosen/rejected JSON dataset and it fine-tunes a Qwen model with DPO + LoRA, so the whole pipeline is config-driven rather than hand-written per experiment.
一个开箱即用的偏好对齐脚手架：给定 prompt/chosen/rejected 格式的 JSON 数据，即可用 DPO + LoRA 微调 Qwen 模型，全流程由配置文件驱动。</t>
        </is>
      </c>
      <c r="F10" s="6" t="inlineStr">
        <is>
          <t>DPO training loop; LoRA/PEFT parameter-efficient tuning (r=16, alpha=32, 7 target modules); YAML-driven hyperparameters (3 epochs, lr 5e-5, beta 0.1); data and model utilities; environment self-test; one-command launch scripts for shell and Windows; inference test script.</t>
        </is>
      </c>
      <c r="G10" s="6" t="inlineStr">
        <is>
          <t>Python, TRL (Transformer Reinforcement Learning), PEFT/LoRA, Transformers, Qwen2.5-0.5B-Instruct base (Qwen3-4B targeted)</t>
        </is>
      </c>
      <c r="H10" s="6" t="inlineStr">
        <is>
          <t>dpo_train.py, data_utils.py, model_utils.py, train_config.yaml, data/dpo_dataset.json, run_training.sh</t>
        </is>
      </c>
      <c r="I10" s="6" t="inlineStr">
        <is>
          <t>Runnable (training log present)</t>
        </is>
      </c>
      <c r="J10" s="6" t="inlineStr">
        <is>
          <t>The 'DPO Fine-Tuning/' subfolder duplicates the root scripts and adds Logic.docx + QUICKSTART.md</t>
        </is>
      </c>
    </row>
    <row r="11" ht="132" customHeight="1">
      <c r="A11" s="7" t="n">
        <v>8</v>
      </c>
      <c r="B11" s="8" t="inlineStr">
        <is>
          <t>Reference Efficiency Toolkit</t>
        </is>
      </c>
      <c r="C11" s="9" t="inlineStr">
        <is>
          <t>repo4-llm-efficiency-reference-search/</t>
        </is>
      </c>
      <c r="D11" s="9" t="inlineStr">
        <is>
          <t>Python Scripts / LLM Tooling</t>
        </is>
      </c>
      <c r="E11" s="9" t="inlineStr">
        <is>
          <t>Remove the manual drudgery from academic referencing: chain a web search API to an LLM so citations are scraped, normalized into APA/in-text format, and papers are summarized — instead of copying each entry by hand from Google Scholar or IEEE.
把学术引用中的重复劳动交给程序：用搜索 API + 大模型自动抓取文献、转成 APA / 文中引用格式并生成摘要，无需再逐条手动复制。</t>
        </is>
      </c>
      <c r="F11" s="9" t="inlineStr">
        <is>
          <t>Reference_Citation.py fetches sources and converts them to APA / in-text citation format; key_words_search.py does keyword-driven literature search with abstract summarization and saves results locally; also helps draft essay outlines. README documents a no-code alternative using the Sider browser extension.</t>
        </is>
      </c>
      <c r="G11" s="9" t="inlineStr">
        <is>
          <t>Python, OpenAI API (gpt-3.5-turbo-1106), Google Custom Search API / SerpAPI, requests, BeautifulSoup</t>
        </is>
      </c>
      <c r="H11" s="9" t="inlineStr">
        <is>
          <t>Reference_Citation.py, key_words_search.py, README.md</t>
        </is>
      </c>
      <c r="I11" s="9" t="inlineStr">
        <is>
          <t>Working scripts</t>
        </is>
      </c>
      <c r="J11" s="9" t="inlineStr">
        <is>
          <t>Placeholder API keys must be replaced (OpenAI, Google CSE / SerpAPI) before running</t>
        </is>
      </c>
    </row>
    <row r="12" ht="132" customHeight="1">
      <c r="A12" s="4" t="n">
        <v>9</v>
      </c>
      <c r="B12" s="5" t="inlineStr">
        <is>
          <t>3D Campus Model</t>
        </is>
      </c>
      <c r="C12" s="6" t="inlineStr">
        <is>
          <t>3D-campus-model/</t>
        </is>
      </c>
      <c r="D12" s="6" t="inlineStr">
        <is>
          <t>3D Assets</t>
        </is>
      </c>
      <c r="E12" s="6" t="inlineStr">
        <is>
          <t>Build a reusable digital twin of a campus: nine building/scene meshes exported in both .obj and .glb so the same geometry can drive offline rendering and real-time web/AR viewers.
构建可复用的校园数字孪生：9 个建筑/场景模型同时导出 .obj 与 .glb 两种格式，既可离线渲染，也可用于实时 Web/AR 展示。</t>
        </is>
      </c>
      <c r="F12" s="6" t="inlineStr">
        <is>
          <t>9 models (model1–model9): .obj meshes for editing/rendering pipelines, .glb for real-time engines and web viewers; 10 reference photographs of the physical site.</t>
        </is>
      </c>
      <c r="G12" s="6" t="inlineStr">
        <is>
          <t>OBJ + GLB 3D formats (~337 MB); no code — consumable by Blender, three.js, Unity, etc.</t>
        </is>
      </c>
      <c r="H12" s="6" t="inlineStr">
        <is>
          <t>3D Model/model1..9.obj|glb, Figure/1..10.jpg</t>
        </is>
      </c>
      <c r="I12" s="6" t="inlineStr">
        <is>
          <t>Asset library</t>
        </is>
      </c>
      <c r="J12" s="6" t="inlineStr">
        <is>
          <t>Large binary assets; consider Git LFS if the repo keeps growing</t>
        </is>
      </c>
    </row>
  </sheetData>
  <autoFilter ref="A3:J12"/>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6" customWidth="1" min="1" max="1"/>
    <col width="12" customWidth="1" min="2" max="2"/>
    <col width="44" customWidth="1" min="3" max="3"/>
    <col width="52" customWidth="1" min="4" max="4"/>
  </cols>
  <sheetData>
    <row r="1" ht="28" customHeight="1">
      <c r="A1" s="1" t="inlineStr">
        <is>
          <t>Portfolio Overview / 组合概览</t>
        </is>
      </c>
    </row>
    <row r="3">
      <c r="A3" s="3" t="inlineStr">
        <is>
          <t>Metric 指标</t>
        </is>
      </c>
      <c r="B3" s="3" t="inlineStr">
        <is>
          <t>Value 数值</t>
        </is>
      </c>
      <c r="C3" s="3" t="inlineStr">
        <is>
          <t>Formula / Basis 计算依据</t>
        </is>
      </c>
      <c r="D3" s="3" t="inlineStr">
        <is>
          <t>Comment 说明</t>
        </is>
      </c>
    </row>
    <row r="4" ht="30" customHeight="1">
      <c r="A4" s="10" t="inlineStr">
        <is>
          <t>Total projects 项目总数</t>
        </is>
      </c>
      <c r="B4" s="11">
        <f>COUNTA('Project Summary'!B4:B12)</f>
        <v/>
      </c>
      <c r="C4" s="12" t="inlineStr">
        <is>
          <t>COUNTA of project names</t>
        </is>
      </c>
      <c r="D4" s="12" t="inlineStr">
        <is>
          <t>Every distinct project in the folder tree</t>
        </is>
      </c>
    </row>
    <row r="5" ht="30" customHeight="1">
      <c r="A5" s="13" t="inlineStr">
        <is>
          <t>Code projects 代码项目</t>
        </is>
      </c>
      <c r="B5" s="14">
        <f>COUNTA('Project Summary'!B4:B12)-COUNTIF('Project Summary'!D4:D12,"*Assets*")-COUNTIF('Project Summary'!D4:D12,"*Reference*")</f>
        <v/>
      </c>
      <c r="C5" s="15" t="inlineStr">
        <is>
          <t>Total less asset/reference-only folders</t>
        </is>
      </c>
      <c r="D5" s="15" t="inlineStr">
        <is>
          <t>Projects that build or run something</t>
        </is>
      </c>
    </row>
    <row r="6" ht="30" customHeight="1">
      <c r="A6" s="10" t="inlineStr">
        <is>
          <t>Asset / reference folders 素材类</t>
        </is>
      </c>
      <c r="B6" s="11">
        <f>COUNTIF('Project Summary'!D4:D12,"*Assets*")+COUNTIF('Project Summary'!D4:D12,"*Reference*")</f>
        <v/>
      </c>
      <c r="C6" s="12" t="inlineStr">
        <is>
          <t>COUNTIF on Type column</t>
        </is>
      </c>
      <c r="D6" s="12" t="inlineStr">
        <is>
          <t>3D models, merch logos, app screenshots</t>
        </is>
      </c>
    </row>
    <row r="7" ht="30" customHeight="1">
      <c r="A7" s="13" t="inlineStr">
        <is>
          <t>Projects using an LLM API 使用大模型</t>
        </is>
      </c>
      <c r="B7" s="14">
        <f>SUMPRODUCT(--((ISNUMBER(SEARCH("OpenAI",'Project Summary'!G4:G12))+ISNUMBER(SEARCH("GPT",'Project Summary'!G4:G12))+ISNUMBER(SEARCH("Qwen",'Project Summary'!G4:G12)))&gt;0))</f>
        <v/>
      </c>
      <c r="C7" s="15" t="inlineStr">
        <is>
          <t>SUMPRODUCT over Tech Stack: rows mentioning OpenAI, GPT or Qwen (counted once each)</t>
        </is>
      </c>
      <c r="D7" s="15" t="inlineStr">
        <is>
          <t>Ledger AI categorization, chat bot, DPO tuning, reference toolkit</t>
        </is>
      </c>
    </row>
    <row r="8" ht="30" customHeight="1">
      <c r="A8" s="10" t="inlineStr">
        <is>
          <t>Coffee-chat product cluster 咖啡社交集群</t>
        </is>
      </c>
      <c r="B8" s="11">
        <f>COUNTIF('Project Summary'!C4:C12,"realtime-chat-system-2/*")</f>
        <v/>
      </c>
      <c r="C8" s="12" t="inlineStr">
        <is>
          <t>COUNTIF on Path prefix</t>
        </is>
      </c>
      <c r="D8" s="12" t="inlineStr">
        <is>
          <t>BrewMeet app + Figma prototype + merch + references</t>
        </is>
      </c>
    </row>
    <row r="10" ht="42" customHeight="1">
      <c r="A10" s="16" t="inlineStr">
        <is>
          <t>Note: all counts are live formulas over the 'Project Summary' sheet — add or remove a row there and extend the ranges to keep them accurate. Project classification (Type column) is the author's judgement based on each folder's contents, not a value stated in the repository.</t>
        </is>
      </c>
    </row>
  </sheetData>
  <mergeCells count="2">
    <mergeCell ref="A1:D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2026-08-27T16:43:16Z</dcterms:created>
  <dcterms:modified xsi:type="dcterms:W3CDTF">2026-08-27T16:43:16Z</dcterms:modified>
</cp:coreProperties>
</file>